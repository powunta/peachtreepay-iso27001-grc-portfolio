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814416ad3e4c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1420edec4b24e15"/>
    <x:sheet xmlns:r="http://schemas.openxmlformats.org/officeDocument/2006/relationships" name="Risk Register" sheetId="2" r:id="R38a89a1833794166"/>
    <x:sheet xmlns:r="http://schemas.openxmlformats.org/officeDocument/2006/relationships" name="Treatment Plan" sheetId="3" r:id="Rfc23f07452624b4b"/>
    <x:sheet xmlns:r="http://schemas.openxmlformats.org/officeDocument/2006/relationships" name="Gap Assessment" sheetId="4" r:id="R05c301552ff84f88"/>
    <x:sheet xmlns:r="http://schemas.openxmlformats.org/officeDocument/2006/relationships" name="Statement of Applicability" sheetId="5" r:id="Rf6596f3f41254213"/>
    <x:sheet xmlns:r="http://schemas.openxmlformats.org/officeDocument/2006/relationships" name="Evidence Register" sheetId="6" r:id="Ree8903682a874d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i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</x:font>
      <x:fill>
        <x:patternFill>
          <x:bgColor rgb="FFF4CCCC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5473bd7a174deb" /><Relationship Type="http://schemas.openxmlformats.org/officeDocument/2006/relationships/theme" Target="/xl/theme/theme1.xml" Id="R9d8c292c87ac4304" /><Relationship Type="http://schemas.openxmlformats.org/officeDocument/2006/relationships/sharedStrings" Target="/xl/sharedStrings.xml" Id="R1a3d90025dbc49a2" /><Relationship Type="http://schemas.openxmlformats.org/officeDocument/2006/relationships/worksheet" Target="/xl/worksheets/sheet1.xml" Id="R01420edec4b24e15" /><Relationship Type="http://schemas.openxmlformats.org/officeDocument/2006/relationships/worksheet" Target="/xl/worksheets/sheet2.xml" Id="R38a89a1833794166" /><Relationship Type="http://schemas.openxmlformats.org/officeDocument/2006/relationships/worksheet" Target="/xl/worksheets/sheet3.xml" Id="Rfc23f07452624b4b" /><Relationship Type="http://schemas.openxmlformats.org/officeDocument/2006/relationships/worksheet" Target="/xl/worksheets/sheet4.xml" Id="R05c301552ff84f88" /><Relationship Type="http://schemas.openxmlformats.org/officeDocument/2006/relationships/worksheet" Target="/xl/worksheets/sheet5.xml" Id="Rf6596f3f41254213" /><Relationship Type="http://schemas.openxmlformats.org/officeDocument/2006/relationships/worksheet" Target="/xl/worksheets/sheet6.xml" Id="Ree8903682a874d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4" max="4" width="28" hidden="0" customWidth="1"/>
    <x:col min="5" max="5" width="18" hidden="0" customWidth="1"/>
  </x:cols>
  <x:sheetData>
    <x:row r="1" ht="32" customHeight="1">
      <x:c r="A1" s="5" t="str">
        <x:v>PeachtreePay ISO 27001 GRC Portfolio Dashboard</x:v>
      </x:c>
      <x:c r="B1" s="5"/>
      <x:c r="C1" s="5"/>
      <x:c r="D1" s="5"/>
      <x:c r="E1" s="5"/>
      <x:c r="F1" s="5"/>
      <x:c r="G1" s="5"/>
      <x:c r="H1" s="5"/>
    </x:row>
    <x:row r="3" ht="30" customHeight="1">
      <x:c r="A3" s="13" t="str">
        <x:v>Metric</x:v>
      </x:c>
      <x:c r="B3" s="13" t="str">
        <x:v>Value</x:v>
      </x:c>
      <x:c r="D3" s="13" t="str">
        <x:v>Portfolio Element</x:v>
      </x:c>
      <x:c r="E3" s="13" t="str">
        <x:v>Status</x:v>
      </x:c>
    </x:row>
    <x:row r="4">
      <x:c r="A4" s="20" t="str">
        <x:v>Total Risks</x:v>
      </x:c>
      <x:c r="B4" s="20" t="n">
        <x:f>COUNT('Risk Register'!A2:A16)</x:f>
        <x:v>15</x:v>
      </x:c>
      <x:c r="D4" s="20" t="str">
        <x:v>Risk Register</x:v>
      </x:c>
      <x:c r="E4" s="20" t="str">
        <x:v>Complete</x:v>
      </x:c>
    </x:row>
    <x:row r="5">
      <x:c r="A5" s="20" t="str">
        <x:v>Critical Inherent Risks</x:v>
      </x:c>
      <x:c r="B5" s="20" t="n">
        <x:f>COUNTIF('Risk Register'!G2:G16,"Critical")</x:f>
        <x:v>1</x:v>
      </x:c>
      <x:c r="D5" s="20" t="str">
        <x:v>Risk Treatment Plan</x:v>
      </x:c>
      <x:c r="E5" s="20" t="str">
        <x:v>Complete</x:v>
      </x:c>
    </x:row>
    <x:row r="6">
      <x:c r="A6" s="20" t="str">
        <x:v>High Inherent Risks</x:v>
      </x:c>
      <x:c r="B6" s="20" t="n">
        <x:f>COUNTIF('Risk Register'!G2:G16,"High")</x:f>
        <x:v>13</x:v>
      </x:c>
      <x:c r="D6" s="20" t="str">
        <x:v>Gap Assessment</x:v>
      </x:c>
      <x:c r="E6" s="20" t="str">
        <x:v>Complete</x:v>
      </x:c>
    </x:row>
    <x:row r="7">
      <x:c r="A7" s="20" t="str">
        <x:v>Gap Areas Reviewed</x:v>
      </x:c>
      <x:c r="B7" s="20" t="n">
        <x:f>COUNTA('Gap Assessment'!A2:A13)</x:f>
        <x:v>12</x:v>
      </x:c>
      <x:c r="D7" s="20" t="str">
        <x:v>Evidence Register</x:v>
      </x:c>
      <x:c r="E7" s="20" t="str">
        <x:v>Complete</x:v>
      </x:c>
    </x:row>
    <x:row r="9">
      <x:c r="A9" s="25" t="str">
        <x:v>SIMULATED PORTFOLIO PROJECT - PeachtreePay is fictional. This workbook demonstrates GRC and ISO/IEC 27001:2022 readiness concepts; it is not an ISO certification audit.</x:v>
      </x:c>
      <x:c r="B9" s="25"/>
      <x:c r="C9" s="25"/>
      <x:c r="D9" s="25"/>
      <x:c r="E9" s="25"/>
      <x:c r="F9" s="25"/>
      <x:c r="G9" s="25"/>
      <x:c r="H9" s="25"/>
    </x:row>
    <x:row r="10">
      <x:c r="A10" s="25"/>
      <x:c r="B10" s="25"/>
      <x:c r="C10" s="25"/>
      <x:c r="D10" s="25"/>
      <x:c r="E10" s="25"/>
      <x:c r="F10" s="25"/>
      <x:c r="G10" s="25"/>
      <x:c r="H10" s="25"/>
    </x:row>
  </x:sheetData>
  <x:mergeCells>
    <x:mergeCell ref="A1:H1"/>
    <x:mergeCell ref="A9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42" hidden="0" customWidth="1"/>
    <x:col min="3" max="3" width="22" hidden="0" customWidth="1"/>
    <x:col min="4" max="4" width="11" hidden="0" customWidth="1"/>
    <x:col min="5" max="5" width="11" hidden="0" customWidth="1"/>
    <x:col min="6" max="6" width="13" hidden="0" customWidth="1"/>
    <x:col min="7" max="7" width="13" hidden="0" customWidth="1"/>
    <x:col min="8" max="8" width="16" hidden="0" customWidth="1"/>
    <x:col min="9" max="9" width="16" hidden="0" customWidth="1"/>
    <x:col min="10" max="10" width="11" hidden="0" customWidth="1"/>
    <x:col min="11" max="11" width="12" hidden="0" customWidth="1"/>
    <x:col min="12" max="12" width="13" hidden="0" customWidth="1"/>
    <x:col min="13" max="13" width="13" hidden="0" customWidth="1"/>
    <x:col min="14" max="14" width="14" hidden="0" customWidth="1"/>
    <x:col min="15" max="15" width="14" hidden="0" customWidth="1"/>
    <x:col min="16" max="16" width="38" hidden="0" customWidth="1"/>
  </x:cols>
  <x:sheetData>
    <x:row r="1" ht="30" customHeight="1">
      <x:c r="A1" s="13" t="str">
        <x:v>ID</x:v>
      </x:c>
      <x:c r="B1" s="13" t="str">
        <x:v>Risk Description</x:v>
      </x:c>
      <x:c r="C1" s="13" t="str">
        <x:v>Risk Area</x:v>
      </x:c>
      <x:c r="D1" s="13" t="str">
        <x:v>Likelihood</x:v>
      </x:c>
      <x:c r="E1" s="13" t="str">
        <x:v>Impact</x:v>
      </x:c>
      <x:c r="F1" s="13" t="str">
        <x:v>Inherent Score</x:v>
      </x:c>
      <x:c r="G1" s="13" t="str">
        <x:v>Rating</x:v>
      </x:c>
      <x:c r="H1" s="13" t="str">
        <x:v>Treatment</x:v>
      </x:c>
      <x:c r="I1" s="13" t="str">
        <x:v>Risk Owner</x:v>
      </x:c>
      <x:c r="J1" s="13" t="str">
        <x:v>Priority</x:v>
      </x:c>
      <x:c r="K1" s="13" t="str">
        <x:v>Target Days</x:v>
      </x:c>
      <x:c r="L1" s="13" t="str">
        <x:v>Residual Likelihood</x:v>
      </x:c>
      <x:c r="M1" s="13" t="str">
        <x:v>Residual Impact</x:v>
      </x:c>
      <x:c r="N1" s="13" t="str">
        <x:v>Residual Score</x:v>
      </x:c>
      <x:c r="O1" s="13" t="str">
        <x:v>Residual Rating</x:v>
      </x:c>
      <x:c r="P1" s="13" t="str">
        <x:v>Recommended Action</x:v>
      </x:c>
    </x:row>
    <x:row r="2">
      <x:c r="A2" s="20" t="n">
        <x:v>1</x:v>
      </x:c>
      <x:c r="B2" s="20" t="str">
        <x:v>Employee account compromised because MFA is not enabled everywhere</x:v>
      </x:c>
      <x:c r="C2" s="20" t="str">
        <x:v>Identity &amp; Access</x:v>
      </x:c>
      <x:c r="D2" s="20" t="n">
        <x:v>4</x:v>
      </x:c>
      <x:c r="E2" s="20" t="n">
        <x:v>5</x:v>
      </x:c>
      <x:c r="F2" s="20" t="n">
        <x:f>D2*E2</x:f>
        <x:v>20</x:v>
      </x:c>
      <x:c r="G2" s="20" t="str">
        <x:f>IF(F2&gt;=20,"Critical",IF(F2&gt;=12,"High",IF(F2&gt;=6,"Medium","Low")))</x:f>
        <x:v>Critical</x:v>
      </x:c>
      <x:c r="H2" s="20" t="str">
        <x:v>Mitigate</x:v>
      </x:c>
      <x:c r="I2" s="20" t="str">
        <x:v>IT/Security</x:v>
      </x:c>
      <x:c r="J2" s="20" t="str">
        <x:v>Critical</x:v>
      </x:c>
      <x:c r="K2" s="20" t="n">
        <x:v>30</x:v>
      </x:c>
      <x:c r="L2" s="20" t="n">
        <x:v>2</x:v>
      </x:c>
      <x:c r="M2" s="20" t="n">
        <x:v>5</x:v>
      </x:c>
      <x:c r="N2" s="20" t="n">
        <x:f>L2*M2</x:f>
        <x:v>10</x:v>
      </x:c>
      <x:c r="O2" s="20" t="str">
        <x:f>IF(N2&gt;=20,"Critical",IF(N2&gt;=12,"High",IF(N2&gt;=6,"Medium","Low")))</x:f>
        <x:v>Medium</x:v>
      </x:c>
      <x:c r="P2" s="20" t="str">
        <x:v>Require MFA for all users and critical systems</x:v>
      </x:c>
    </x:row>
    <x:row r="3">
      <x:c r="A3" s="20" t="n">
        <x:v>2</x:v>
      </x:c>
      <x:c r="B3" s="20" t="str">
        <x:v>Phishing attack steals employee credentials</x:v>
      </x:c>
      <x:c r="C3" s="20" t="str">
        <x:v>Security Awareness</x:v>
      </x:c>
      <x:c r="D3" s="20" t="n">
        <x:v>4</x:v>
      </x:c>
      <x:c r="E3" s="20" t="n">
        <x:v>4</x:v>
      </x:c>
      <x:c r="F3" s="20" t="n">
        <x:f>D3*E3</x:f>
        <x:v>16</x:v>
      </x:c>
      <x:c r="G3" s="20" t="str">
        <x:f>IF(F3&gt;=20,"Critical",IF(F3&gt;=12,"High",IF(F3&gt;=6,"Medium","Low")))</x:f>
        <x:v>High</x:v>
      </x:c>
      <x:c r="H3" s="20" t="str">
        <x:v>Mitigate</x:v>
      </x:c>
      <x:c r="I3" s="20" t="str">
        <x:v>Security</x:v>
      </x:c>
      <x:c r="J3" s="20" t="str">
        <x:v>High</x:v>
      </x:c>
      <x:c r="K3" s="20" t="n">
        <x:v>60</x:v>
      </x:c>
      <x:c r="L3" s="20" t="n">
        <x:v>2</x:v>
      </x:c>
      <x:c r="M3" s="20" t="n">
        <x:v>4</x:v>
      </x:c>
      <x:c r="N3" s="20" t="n">
        <x:f>L3*M3</x:f>
        <x:v>8</x:v>
      </x:c>
      <x:c r="O3" s="20" t="str">
        <x:f>IF(N3&gt;=20,"Critical",IF(N3&gt;=12,"High",IF(N3&gt;=6,"Medium","Low")))</x:f>
        <x:v>Medium</x:v>
      </x:c>
      <x:c r="P3" s="20" t="str">
        <x:v>Phishing training, MFA, and email filtering</x:v>
      </x:c>
    </x:row>
    <x:row r="4">
      <x:c r="A4" s="20" t="n">
        <x:v>3</x:v>
      </x:c>
      <x:c r="B4" s="20" t="str">
        <x:v>Former employee retains access after termination</x:v>
      </x:c>
      <x:c r="C4" s="20" t="str">
        <x:v>Identity &amp; Access</x:v>
      </x:c>
      <x:c r="D4" s="20" t="n">
        <x:v>3</x:v>
      </x:c>
      <x:c r="E4" s="20" t="n">
        <x:v>5</x:v>
      </x:c>
      <x:c r="F4" s="20" t="n">
        <x:f>D4*E4</x:f>
        <x:v>15</x:v>
      </x:c>
      <x:c r="G4" s="20" t="str">
        <x:f>IF(F4&gt;=20,"Critical",IF(F4&gt;=12,"High",IF(F4&gt;=6,"Medium","Low")))</x:f>
        <x:v>High</x:v>
      </x:c>
      <x:c r="H4" s="20" t="str">
        <x:v>Mitigate</x:v>
      </x:c>
      <x:c r="I4" s="20" t="str">
        <x:v>HR + IT</x:v>
      </x:c>
      <x:c r="J4" s="20" t="str">
        <x:v>High</x:v>
      </x:c>
      <x:c r="K4" s="20" t="n">
        <x:v>30</x:v>
      </x:c>
      <x:c r="L4" s="20" t="n">
        <x:v>1</x:v>
      </x:c>
      <x:c r="M4" s="20" t="n">
        <x:v>5</x:v>
      </x:c>
      <x:c r="N4" s="20" t="n">
        <x:f>L4*M4</x:f>
        <x:v>5</x:v>
      </x:c>
      <x:c r="O4" s="20" t="str">
        <x:f>IF(N4&gt;=20,"Critical",IF(N4&gt;=12,"High",IF(N4&gt;=6,"Medium","Low")))</x:f>
        <x:v>Low</x:v>
      </x:c>
      <x:c r="P4" s="20" t="str">
        <x:v>Formal HR-to-IT offboarding workflow</x:v>
      </x:c>
    </x:row>
    <x:row r="5">
      <x:c r="A5" s="20" t="n">
        <x:v>4</x:v>
      </x:c>
      <x:c r="B5" s="20" t="str">
        <x:v>AWS misconfiguration exposes customer information</x:v>
      </x:c>
      <x:c r="C5" s="20" t="str">
        <x:v>Cloud Security</x:v>
      </x:c>
      <x:c r="D5" s="20" t="n">
        <x:v>3</x:v>
      </x:c>
      <x:c r="E5" s="20" t="n">
        <x:v>5</x:v>
      </x:c>
      <x:c r="F5" s="20" t="n">
        <x:f>D5*E5</x:f>
        <x:v>15</x:v>
      </x:c>
      <x:c r="G5" s="20" t="str">
        <x:f>IF(F5&gt;=20,"Critical",IF(F5&gt;=12,"High",IF(F5&gt;=6,"Medium","Low")))</x:f>
        <x:v>High</x:v>
      </x:c>
      <x:c r="H5" s="20" t="str">
        <x:v>Mitigate</x:v>
      </x:c>
      <x:c r="I5" s="20" t="str">
        <x:v>Cloud/Security</x:v>
      </x:c>
      <x:c r="J5" s="20" t="str">
        <x:v>High</x:v>
      </x:c>
      <x:c r="K5" s="20" t="n">
        <x:v>60</x:v>
      </x:c>
      <x:c r="L5" s="20" t="n">
        <x:v>1</x:v>
      </x:c>
      <x:c r="M5" s="20" t="n">
        <x:v>5</x:v>
      </x:c>
      <x:c r="N5" s="20" t="n">
        <x:f>L5*M5</x:f>
        <x:v>5</x:v>
      </x:c>
      <x:c r="O5" s="20" t="str">
        <x:f>IF(N5&gt;=20,"Critical",IF(N5&gt;=12,"High",IF(N5&gt;=6,"Medium","Low")))</x:f>
        <x:v>Low</x:v>
      </x:c>
      <x:c r="P5" s="20" t="str">
        <x:v>Cloud configuration reviews and security baseline</x:v>
      </x:c>
    </x:row>
    <x:row r="6">
      <x:c r="A6" s="20" t="n">
        <x:v>5</x:v>
      </x:c>
      <x:c r="B6" s="20" t="str">
        <x:v>Critical third-party vendor suffers a security breach</x:v>
      </x:c>
      <x:c r="C6" s="20" t="str">
        <x:v>Third-Party Risk</x:v>
      </x:c>
      <x:c r="D6" s="20" t="n">
        <x:v>3</x:v>
      </x:c>
      <x:c r="E6" s="20" t="n">
        <x:v>4</x:v>
      </x:c>
      <x:c r="F6" s="20" t="n">
        <x:f>D6*E6</x:f>
        <x:v>12</x:v>
      </x:c>
      <x:c r="G6" s="20" t="str">
        <x:f>IF(F6&gt;=20,"Critical",IF(F6&gt;=12,"High",IF(F6&gt;=6,"Medium","Low")))</x:f>
        <x:v>High</x:v>
      </x:c>
      <x:c r="H6" s="20" t="str">
        <x:v>Mitigate/Transfer</x:v>
      </x:c>
      <x:c r="I6" s="20" t="str">
        <x:v>GRC/Legal</x:v>
      </x:c>
      <x:c r="J6" s="20" t="str">
        <x:v>High</x:v>
      </x:c>
      <x:c r="K6" s="20" t="n">
        <x:v>90</x:v>
      </x:c>
      <x:c r="L6" s="20" t="n">
        <x:v>2</x:v>
      </x:c>
      <x:c r="M6" s="20" t="n">
        <x:v>4</x:v>
      </x:c>
      <x:c r="N6" s="20" t="n">
        <x:f>L6*M6</x:f>
        <x:v>8</x:v>
      </x:c>
      <x:c r="O6" s="20" t="str">
        <x:f>IF(N6&gt;=20,"Critical",IF(N6&gt;=12,"High",IF(N6&gt;=6,"Medium","Low")))</x:f>
        <x:v>Medium</x:v>
      </x:c>
      <x:c r="P6" s="20" t="str">
        <x:v>Vendor assessments, security clauses, and insurance</x:v>
      </x:c>
    </x:row>
    <x:row r="7">
      <x:c r="A7" s="20" t="n">
        <x:v>6</x:v>
      </x:c>
      <x:c r="B7" s="20" t="str">
        <x:v>Employee laptop is lost or stolen</x:v>
      </x:c>
      <x:c r="C7" s="20" t="str">
        <x:v>Endpoint Security</x:v>
      </x:c>
      <x:c r="D7" s="20" t="n">
        <x:v>3</x:v>
      </x:c>
      <x:c r="E7" s="20" t="n">
        <x:v>4</x:v>
      </x:c>
      <x:c r="F7" s="20" t="n">
        <x:f>D7*E7</x:f>
        <x:v>12</x:v>
      </x:c>
      <x:c r="G7" s="20" t="str">
        <x:f>IF(F7&gt;=20,"Critical",IF(F7&gt;=12,"High",IF(F7&gt;=6,"Medium","Low")))</x:f>
        <x:v>High</x:v>
      </x:c>
      <x:c r="H7" s="20" t="str">
        <x:v>Mitigate</x:v>
      </x:c>
      <x:c r="I7" s="20" t="str">
        <x:v>IT</x:v>
      </x:c>
      <x:c r="J7" s="20" t="str">
        <x:v>High</x:v>
      </x:c>
      <x:c r="K7" s="20" t="n">
        <x:v>60</x:v>
      </x:c>
      <x:c r="L7" s="20" t="n">
        <x:v>2</x:v>
      </x:c>
      <x:c r="M7" s="20" t="n">
        <x:v>3</x:v>
      </x:c>
      <x:c r="N7" s="20" t="n">
        <x:f>L7*M7</x:f>
        <x:v>6</x:v>
      </x:c>
      <x:c r="O7" s="20" t="str">
        <x:f>IF(N7&gt;=20,"Critical",IF(N7&gt;=12,"High",IF(N7&gt;=6,"Medium","Low")))</x:f>
        <x:v>Medium</x:v>
      </x:c>
      <x:c r="P7" s="20" t="str">
        <x:v>Encryption, MFA, screen lock, and remote wipe</x:v>
      </x:c>
    </x:row>
    <x:row r="8">
      <x:c r="A8" s="20" t="n">
        <x:v>7</x:v>
      </x:c>
      <x:c r="B8" s="20" t="str">
        <x:v>Malware or ransomware disrupts business operations</x:v>
      </x:c>
      <x:c r="C8" s="20" t="str">
        <x:v>Endpoint/Resilience</x:v>
      </x:c>
      <x:c r="D8" s="20" t="n">
        <x:v>3</x:v>
      </x:c>
      <x:c r="E8" s="20" t="n">
        <x:v>5</x:v>
      </x:c>
      <x:c r="F8" s="20" t="n">
        <x:f>D8*E8</x:f>
        <x:v>15</x:v>
      </x:c>
      <x:c r="G8" s="20" t="str">
        <x:f>IF(F8&gt;=20,"Critical",IF(F8&gt;=12,"High",IF(F8&gt;=6,"Medium","Low")))</x:f>
        <x:v>High</x:v>
      </x:c>
      <x:c r="H8" s="20" t="str">
        <x:v>Mitigate</x:v>
      </x:c>
      <x:c r="I8" s="20" t="str">
        <x:v>Security/IT</x:v>
      </x:c>
      <x:c r="J8" s="20" t="str">
        <x:v>High</x:v>
      </x:c>
      <x:c r="K8" s="20" t="n">
        <x:v>60</x:v>
      </x:c>
      <x:c r="L8" s="20" t="n">
        <x:v>2</x:v>
      </x:c>
      <x:c r="M8" s="20" t="n">
        <x:v>4</x:v>
      </x:c>
      <x:c r="N8" s="20" t="n">
        <x:f>L8*M8</x:f>
        <x:v>8</x:v>
      </x:c>
      <x:c r="O8" s="20" t="str">
        <x:f>IF(N8&gt;=20,"Critical",IF(N8&gt;=12,"High",IF(N8&gt;=6,"Medium","Low")))</x:f>
        <x:v>Medium</x:v>
      </x:c>
      <x:c r="P8" s="20" t="str">
        <x:v>EDR, backups, patching, and response procedures</x:v>
      </x:c>
    </x:row>
    <x:row r="9">
      <x:c r="A9" s="20" t="n">
        <x:v>8</x:v>
      </x:c>
      <x:c r="B9" s="20" t="str">
        <x:v>Sensitive information is accidentally emailed to the wrong person</x:v>
      </x:c>
      <x:c r="C9" s="20" t="str">
        <x:v>Data Protection</x:v>
      </x:c>
      <x:c r="D9" s="20" t="n">
        <x:v>3</x:v>
      </x:c>
      <x:c r="E9" s="20" t="n">
        <x:v>4</x:v>
      </x:c>
      <x:c r="F9" s="20" t="n">
        <x:f>D9*E9</x:f>
        <x:v>12</x:v>
      </x:c>
      <x:c r="G9" s="20" t="str">
        <x:f>IF(F9&gt;=20,"Critical",IF(F9&gt;=12,"High",IF(F9&gt;=6,"Medium","Low")))</x:f>
        <x:v>High</x:v>
      </x:c>
      <x:c r="H9" s="20" t="str">
        <x:v>Mitigate</x:v>
      </x:c>
      <x:c r="I9" s="20" t="str">
        <x:v>Security</x:v>
      </x:c>
      <x:c r="J9" s="20" t="str">
        <x:v>Medium</x:v>
      </x:c>
      <x:c r="K9" s="20" t="n">
        <x:v>90</x:v>
      </x:c>
      <x:c r="L9" s="20" t="n">
        <x:v>2</x:v>
      </x:c>
      <x:c r="M9" s="20" t="n">
        <x:v>3</x:v>
      </x:c>
      <x:c r="N9" s="20" t="n">
        <x:f>L9*M9</x:f>
        <x:v>6</x:v>
      </x:c>
      <x:c r="O9" s="20" t="str">
        <x:f>IF(N9&gt;=20,"Critical",IF(N9&gt;=12,"High",IF(N9&gt;=6,"Medium","Low")))</x:f>
        <x:v>Medium</x:v>
      </x:c>
      <x:c r="P9" s="20" t="str">
        <x:v>Data handling training and technical safeguards</x:v>
      </x:c>
    </x:row>
    <x:row r="10">
      <x:c r="A10" s="20" t="n">
        <x:v>9</x:v>
      </x:c>
      <x:c r="B10" s="20" t="str">
        <x:v>Excessive user permissions allow unauthorized access</x:v>
      </x:c>
      <x:c r="C10" s="20" t="str">
        <x:v>Identity &amp; Access</x:v>
      </x:c>
      <x:c r="D10" s="20" t="n">
        <x:v>3</x:v>
      </x:c>
      <x:c r="E10" s="20" t="n">
        <x:v>5</x:v>
      </x:c>
      <x:c r="F10" s="20" t="n">
        <x:f>D10*E10</x:f>
        <x:v>15</x:v>
      </x:c>
      <x:c r="G10" s="20" t="str">
        <x:f>IF(F10&gt;=20,"Critical",IF(F10&gt;=12,"High",IF(F10&gt;=6,"Medium","Low")))</x:f>
        <x:v>High</x:v>
      </x:c>
      <x:c r="H10" s="20" t="str">
        <x:v>Mitigate</x:v>
      </x:c>
      <x:c r="I10" s="20" t="str">
        <x:v>IT/GRC</x:v>
      </x:c>
      <x:c r="J10" s="20" t="str">
        <x:v>High</x:v>
      </x:c>
      <x:c r="K10" s="20" t="n">
        <x:v>60</x:v>
      </x:c>
      <x:c r="L10" s="20" t="n">
        <x:v>1</x:v>
      </x:c>
      <x:c r="M10" s="20" t="n">
        <x:v>5</x:v>
      </x:c>
      <x:c r="N10" s="20" t="n">
        <x:f>L10*M10</x:f>
        <x:v>5</x:v>
      </x:c>
      <x:c r="O10" s="20" t="str">
        <x:f>IF(N10&gt;=20,"Critical",IF(N10&gt;=12,"High",IF(N10&gt;=6,"Medium","Low")))</x:f>
        <x:v>Low</x:v>
      </x:c>
      <x:c r="P10" s="20" t="str">
        <x:v>Least privilege and quarterly access reviews</x:v>
      </x:c>
    </x:row>
    <x:row r="11">
      <x:c r="A11" s="20" t="n">
        <x:v>10</x:v>
      </x:c>
      <x:c r="B11" s="20" t="str">
        <x:v>Backups fail during a major incident</x:v>
      </x:c>
      <x:c r="C11" s="20" t="str">
        <x:v>Resilience</x:v>
      </x:c>
      <x:c r="D11" s="20" t="n">
        <x:v>2</x:v>
      </x:c>
      <x:c r="E11" s="20" t="n">
        <x:v>5</x:v>
      </x:c>
      <x:c r="F11" s="20" t="n">
        <x:f>D11*E11</x:f>
        <x:v>10</x:v>
      </x:c>
      <x:c r="G11" s="20" t="str">
        <x:f>IF(F11&gt;=20,"Critical",IF(F11&gt;=12,"High",IF(F11&gt;=6,"Medium","Low")))</x:f>
        <x:v>Medium</x:v>
      </x:c>
      <x:c r="H11" s="20" t="str">
        <x:v>Mitigate</x:v>
      </x:c>
      <x:c r="I11" s="20" t="str">
        <x:v>IT</x:v>
      </x:c>
      <x:c r="J11" s="20" t="str">
        <x:v>High</x:v>
      </x:c>
      <x:c r="K11" s="20" t="n">
        <x:v>60</x:v>
      </x:c>
      <x:c r="L11" s="20" t="n">
        <x:v>1</x:v>
      </x:c>
      <x:c r="M11" s="20" t="n">
        <x:v>5</x:v>
      </x:c>
      <x:c r="N11" s="20" t="n">
        <x:f>L11*M11</x:f>
        <x:v>5</x:v>
      </x:c>
      <x:c r="O11" s="20" t="str">
        <x:f>IF(N11&gt;=20,"Critical",IF(N11&gt;=12,"High",IF(N11&gt;=6,"Medium","Low")))</x:f>
        <x:v>Low</x:v>
      </x:c>
      <x:c r="P11" s="20" t="str">
        <x:v>Automated backups and restoration testing</x:v>
      </x:c>
    </x:row>
    <x:row r="12">
      <x:c r="A12" s="20" t="n">
        <x:v>11</x:v>
      </x:c>
      <x:c r="B12" s="20" t="str">
        <x:v>Vulnerable software remains unpatched</x:v>
      </x:c>
      <x:c r="C12" s="20" t="str">
        <x:v>Vulnerability Management</x:v>
      </x:c>
      <x:c r="D12" s="20" t="n">
        <x:v>4</x:v>
      </x:c>
      <x:c r="E12" s="20" t="n">
        <x:v>4</x:v>
      </x:c>
      <x:c r="F12" s="20" t="n">
        <x:f>D12*E12</x:f>
        <x:v>16</x:v>
      </x:c>
      <x:c r="G12" s="20" t="str">
        <x:f>IF(F12&gt;=20,"Critical",IF(F12&gt;=12,"High",IF(F12&gt;=6,"Medium","Low")))</x:f>
        <x:v>High</x:v>
      </x:c>
      <x:c r="H12" s="20" t="str">
        <x:v>Mitigate</x:v>
      </x:c>
      <x:c r="I12" s="20" t="str">
        <x:v>IT/Security</x:v>
      </x:c>
      <x:c r="J12" s="20" t="str">
        <x:v>High</x:v>
      </x:c>
      <x:c r="K12" s="20" t="n">
        <x:v>30</x:v>
      </x:c>
      <x:c r="L12" s="20" t="n">
        <x:v>2</x:v>
      </x:c>
      <x:c r="M12" s="20" t="n">
        <x:v>4</x:v>
      </x:c>
      <x:c r="N12" s="20" t="n">
        <x:f>L12*M12</x:f>
        <x:v>8</x:v>
      </x:c>
      <x:c r="O12" s="20" t="str">
        <x:f>IF(N12&gt;=20,"Critical",IF(N12&gt;=12,"High",IF(N12&gt;=6,"Medium","Low")))</x:f>
        <x:v>Medium</x:v>
      </x:c>
      <x:c r="P12" s="20" t="str">
        <x:v>Formal patch and vulnerability management SLAs</x:v>
      </x:c>
    </x:row>
    <x:row r="13">
      <x:c r="A13" s="20" t="n">
        <x:v>12</x:v>
      </x:c>
      <x:c r="B13" s="20" t="str">
        <x:v>Employees are not adequately trained on security</x:v>
      </x:c>
      <x:c r="C13" s="20" t="str">
        <x:v>Security Awareness</x:v>
      </x:c>
      <x:c r="D13" s="20" t="n">
        <x:v>4</x:v>
      </x:c>
      <x:c r="E13" s="20" t="n">
        <x:v>3</x:v>
      </x:c>
      <x:c r="F13" s="20" t="n">
        <x:f>D13*E13</x:f>
        <x:v>12</x:v>
      </x:c>
      <x:c r="G13" s="20" t="str">
        <x:f>IF(F13&gt;=20,"Critical",IF(F13&gt;=12,"High",IF(F13&gt;=6,"Medium","Low")))</x:f>
        <x:v>High</x:v>
      </x:c>
      <x:c r="H13" s="20" t="str">
        <x:v>Mitigate</x:v>
      </x:c>
      <x:c r="I13" s="20" t="str">
        <x:v>HR/Security</x:v>
      </x:c>
      <x:c r="J13" s="20" t="str">
        <x:v>Medium</x:v>
      </x:c>
      <x:c r="K13" s="20" t="n">
        <x:v>90</x:v>
      </x:c>
      <x:c r="L13" s="20" t="n">
        <x:v>2</x:v>
      </x:c>
      <x:c r="M13" s="20" t="n">
        <x:v>3</x:v>
      </x:c>
      <x:c r="N13" s="20" t="n">
        <x:f>L13*M13</x:f>
        <x:v>6</x:v>
      </x:c>
      <x:c r="O13" s="20" t="str">
        <x:f>IF(N13&gt;=20,"Critical",IF(N13&gt;=12,"High",IF(N13&gt;=6,"Medium","Low")))</x:f>
        <x:v>Medium</x:v>
      </x:c>
      <x:c r="P13" s="20" t="str">
        <x:v>Annual and new-hire security awareness training</x:v>
      </x:c>
    </x:row>
    <x:row r="14">
      <x:c r="A14" s="20" t="n">
        <x:v>13</x:v>
      </x:c>
      <x:c r="B14" s="20" t="str">
        <x:v>Security logs are not reviewed and attacks go undetected</x:v>
      </x:c>
      <x:c r="C14" s="20" t="str">
        <x:v>Monitoring</x:v>
      </x:c>
      <x:c r="D14" s="20" t="n">
        <x:v>3</x:v>
      </x:c>
      <x:c r="E14" s="20" t="n">
        <x:v>4</x:v>
      </x:c>
      <x:c r="F14" s="20" t="n">
        <x:f>D14*E14</x:f>
        <x:v>12</x:v>
      </x:c>
      <x:c r="G14" s="20" t="str">
        <x:f>IF(F14&gt;=20,"Critical",IF(F14&gt;=12,"High",IF(F14&gt;=6,"Medium","Low")))</x:f>
        <x:v>High</x:v>
      </x:c>
      <x:c r="H14" s="20" t="str">
        <x:v>Mitigate</x:v>
      </x:c>
      <x:c r="I14" s="20" t="str">
        <x:v>Security</x:v>
      </x:c>
      <x:c r="J14" s="20" t="str">
        <x:v>High</x:v>
      </x:c>
      <x:c r="K14" s="20" t="n">
        <x:v>60</x:v>
      </x:c>
      <x:c r="L14" s="20" t="n">
        <x:v>2</x:v>
      </x:c>
      <x:c r="M14" s="20" t="n">
        <x:v>3</x:v>
      </x:c>
      <x:c r="N14" s="20" t="n">
        <x:f>L14*M14</x:f>
        <x:v>6</x:v>
      </x:c>
      <x:c r="O14" s="20" t="str">
        <x:f>IF(N14&gt;=20,"Critical",IF(N14&gt;=12,"High",IF(N14&gt;=6,"Medium","Low")))</x:f>
        <x:v>Medium</x:v>
      </x:c>
      <x:c r="P14" s="20" t="str">
        <x:v>Centralized logging, alerts, and review procedures</x:v>
      </x:c>
    </x:row>
    <x:row r="15">
      <x:c r="A15" s="20" t="n">
        <x:v>14</x:v>
      </x:c>
      <x:c r="B15" s="20" t="str">
        <x:v>Weak vendor security assessment allows risky suppliers</x:v>
      </x:c>
      <x:c r="C15" s="20" t="str">
        <x:v>Third-Party Risk</x:v>
      </x:c>
      <x:c r="D15" s="20" t="n">
        <x:v>3</x:v>
      </x:c>
      <x:c r="E15" s="20" t="n">
        <x:v>4</x:v>
      </x:c>
      <x:c r="F15" s="20" t="n">
        <x:f>D15*E15</x:f>
        <x:v>12</x:v>
      </x:c>
      <x:c r="G15" s="20" t="str">
        <x:f>IF(F15&gt;=20,"Critical",IF(F15&gt;=12,"High",IF(F15&gt;=6,"Medium","Low")))</x:f>
        <x:v>High</x:v>
      </x:c>
      <x:c r="H15" s="20" t="str">
        <x:v>Mitigate</x:v>
      </x:c>
      <x:c r="I15" s="20" t="str">
        <x:v>GRC</x:v>
      </x:c>
      <x:c r="J15" s="20" t="str">
        <x:v>Medium</x:v>
      </x:c>
      <x:c r="K15" s="20" t="n">
        <x:v>90</x:v>
      </x:c>
      <x:c r="L15" s="20" t="n">
        <x:v>2</x:v>
      </x:c>
      <x:c r="M15" s="20" t="n">
        <x:v>3</x:v>
      </x:c>
      <x:c r="N15" s="20" t="n">
        <x:f>L15*M15</x:f>
        <x:v>6</x:v>
      </x:c>
      <x:c r="O15" s="20" t="str">
        <x:f>IF(N15&gt;=20,"Critical",IF(N15&gt;=12,"High",IF(N15&gt;=6,"Medium","Low")))</x:f>
        <x:v>Medium</x:v>
      </x:c>
      <x:c r="P15" s="20" t="str">
        <x:v>Vendor questionnaire, risk tiering, and reassessment</x:v>
      </x:c>
    </x:row>
    <x:row r="16">
      <x:c r="A16" s="20" t="n">
        <x:v>15</x:v>
      </x:c>
      <x:c r="B16" s="20" t="str">
        <x:v>Incident response procedures are incomplete or untested</x:v>
      </x:c>
      <x:c r="C16" s="20" t="str">
        <x:v>Incident Response</x:v>
      </x:c>
      <x:c r="D16" s="20" t="n">
        <x:v>3</x:v>
      </x:c>
      <x:c r="E16" s="20" t="n">
        <x:v>5</x:v>
      </x:c>
      <x:c r="F16" s="20" t="n">
        <x:f>D16*E16</x:f>
        <x:v>15</x:v>
      </x:c>
      <x:c r="G16" s="20" t="str">
        <x:f>IF(F16&gt;=20,"Critical",IF(F16&gt;=12,"High",IF(F16&gt;=6,"Medium","Low")))</x:f>
        <x:v>High</x:v>
      </x:c>
      <x:c r="H16" s="20" t="str">
        <x:v>Mitigate</x:v>
      </x:c>
      <x:c r="I16" s="20" t="str">
        <x:v>Security/GRC</x:v>
      </x:c>
      <x:c r="J16" s="20" t="str">
        <x:v>High</x:v>
      </x:c>
      <x:c r="K16" s="20" t="n">
        <x:v>60</x:v>
      </x:c>
      <x:c r="L16" s="20" t="n">
        <x:v>1</x:v>
      </x:c>
      <x:c r="M16" s="20" t="n">
        <x:v>5</x:v>
      </x:c>
      <x:c r="N16" s="20" t="n">
        <x:f>L16*M16</x:f>
        <x:v>5</x:v>
      </x:c>
      <x:c r="O16" s="20" t="str">
        <x:f>IF(N16&gt;=20,"Critical",IF(N16&gt;=12,"High",IF(N16&gt;=6,"Medium","Low")))</x:f>
        <x:v>Low</x:v>
      </x:c>
      <x:c r="P16" s="20" t="str">
        <x:v>Document and test incident response plan</x:v>
      </x:c>
    </x:row>
  </x:sheetData>
  <x:conditionalFormatting sqref="G2:G16">
    <x:cfRule type="expression" dxfId="0" priority="1">
      <x:formula>G2="Critical"</x:formula>
    </x:cfRule>
    <x:cfRule type="expression" dxfId="1" priority="2">
      <x:formula>G2="High"</x:formula>
    </x:cfRule>
    <x:cfRule type="expression" dxfId="2" priority="3">
      <x:formula>G2="Medium"</x:formula>
    </x:cfRule>
  </x:conditionalFormatting>
  <x:conditionalFormatting sqref="O2:O16">
    <x:cfRule type="expression" dxfId="3" priority="4">
      <x:formula>O2="Low"</x:formula>
    </x:cfRule>
  </x:conditionalFormatting>
  <x:conditionalFormatting sqref="N2:N16">
    <x:cfRule type="dataBar" priority="5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{B1FD28B5-E9AA-47F8-EDF7-EA6B8131143F}</x14:id>
        </x:ext>
      </x:extLst>
    </x:cfRule>
  </x:conditionalFormatting>
  <x:dataValidations count="2">
    <x:dataValidation operator="between" sqref="D2:E16">
      <x:formula1>1</x:formula1>
      <x:formula2>5</x:formula2>
    </x:dataValidation>
    <x:dataValidation operator="between" sqref="L2:M16">
      <x:formula1>1</x:formula1>
      <x:formula2>5</x:formula2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5" id="{B1FD28B5-E9AA-47F8-EDF7-EA6B8131143F}">
            <x14:dataBar gradient="1">
              <x14:cfvo type="min"/>
              <x14:cfvo type="max"/>
              <x14:fillColor rgb="FFA02B93"/>
            </x14:dataBar>
          </x14:cfRule>
          <xm:sqref>N2:N16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40" hidden="0" customWidth="1"/>
    <x:col min="3" max="3" width="16" hidden="0" customWidth="1"/>
    <x:col min="4" max="4" width="42" hidden="0" customWidth="1"/>
    <x:col min="5" max="5" width="18" hidden="0" customWidth="1"/>
    <x:col min="6" max="6" width="12" hidden="0" customWidth="1"/>
    <x:col min="7" max="7" width="13" hidden="0" customWidth="1"/>
    <x:col min="8" max="8" width="13" hidden="0" customWidth="1"/>
    <x:col min="9" max="9" width="14" hidden="0" customWidth="1"/>
  </x:cols>
  <x:sheetData>
    <x:row r="1" ht="30" customHeight="1">
      <x:c r="A1" s="13" t="str">
        <x:v>ID</x:v>
      </x:c>
      <x:c r="B1" s="13" t="str">
        <x:v>Risk</x:v>
      </x:c>
      <x:c r="C1" s="13" t="str">
        <x:v>Treatment</x:v>
      </x:c>
      <x:c r="D1" s="13" t="str">
        <x:v>Recommended Action</x:v>
      </x:c>
      <x:c r="E1" s="13" t="str">
        <x:v>Owner</x:v>
      </x:c>
      <x:c r="F1" s="13" t="str">
        <x:v>Priority</x:v>
      </x:c>
      <x:c r="G1" s="13" t="str">
        <x:v>Target Days</x:v>
      </x:c>
      <x:c r="H1" s="13" t="str">
        <x:v>Residual Score</x:v>
      </x:c>
      <x:c r="I1" s="13" t="str">
        <x:v>Status</x:v>
      </x:c>
    </x:row>
    <x:row r="2">
      <x:c r="A2" s="20" t="n">
        <x:v>1</x:v>
      </x:c>
      <x:c r="B2" s="20" t="str">
        <x:v>Employee account compromised because MFA is not enabled everywhere</x:v>
      </x:c>
      <x:c r="C2" s="20" t="str">
        <x:v>Mitigate</x:v>
      </x:c>
      <x:c r="D2" s="20" t="str">
        <x:v>Require MFA for all users and critical systems</x:v>
      </x:c>
      <x:c r="E2" s="20" t="str">
        <x:v>IT/Security</x:v>
      </x:c>
      <x:c r="F2" s="20" t="str">
        <x:v>Critical</x:v>
      </x:c>
      <x:c r="G2" s="20" t="n">
        <x:v>30</x:v>
      </x:c>
      <x:c r="H2" s="20" t="n">
        <x:f>'Risk Register'!N2</x:f>
        <x:v>10</x:v>
      </x:c>
      <x:c r="I2" s="20" t="str">
        <x:v>Planned</x:v>
      </x:c>
    </x:row>
    <x:row r="3">
      <x:c r="A3" s="20" t="n">
        <x:v>2</x:v>
      </x:c>
      <x:c r="B3" s="20" t="str">
        <x:v>Phishing attack steals employee credentials</x:v>
      </x:c>
      <x:c r="C3" s="20" t="str">
        <x:v>Mitigate</x:v>
      </x:c>
      <x:c r="D3" s="20" t="str">
        <x:v>Phishing training, MFA, and email filtering</x:v>
      </x:c>
      <x:c r="E3" s="20" t="str">
        <x:v>Security</x:v>
      </x:c>
      <x:c r="F3" s="20" t="str">
        <x:v>High</x:v>
      </x:c>
      <x:c r="G3" s="20" t="n">
        <x:v>60</x:v>
      </x:c>
      <x:c r="H3" s="20" t="n">
        <x:f>'Risk Register'!N3</x:f>
        <x:v>8</x:v>
      </x:c>
      <x:c r="I3" s="20" t="str">
        <x:v>Planned</x:v>
      </x:c>
    </x:row>
    <x:row r="4">
      <x:c r="A4" s="20" t="n">
        <x:v>3</x:v>
      </x:c>
      <x:c r="B4" s="20" t="str">
        <x:v>Former employee retains access after termination</x:v>
      </x:c>
      <x:c r="C4" s="20" t="str">
        <x:v>Mitigate</x:v>
      </x:c>
      <x:c r="D4" s="20" t="str">
        <x:v>Formal HR-to-IT offboarding workflow</x:v>
      </x:c>
      <x:c r="E4" s="20" t="str">
        <x:v>HR + IT</x:v>
      </x:c>
      <x:c r="F4" s="20" t="str">
        <x:v>High</x:v>
      </x:c>
      <x:c r="G4" s="20" t="n">
        <x:v>30</x:v>
      </x:c>
      <x:c r="H4" s="20" t="n">
        <x:f>'Risk Register'!N4</x:f>
        <x:v>5</x:v>
      </x:c>
      <x:c r="I4" s="20" t="str">
        <x:v>Planned</x:v>
      </x:c>
    </x:row>
    <x:row r="5">
      <x:c r="A5" s="20" t="n">
        <x:v>4</x:v>
      </x:c>
      <x:c r="B5" s="20" t="str">
        <x:v>AWS misconfiguration exposes customer information</x:v>
      </x:c>
      <x:c r="C5" s="20" t="str">
        <x:v>Mitigate</x:v>
      </x:c>
      <x:c r="D5" s="20" t="str">
        <x:v>Cloud configuration reviews and security baseline</x:v>
      </x:c>
      <x:c r="E5" s="20" t="str">
        <x:v>Cloud/Security</x:v>
      </x:c>
      <x:c r="F5" s="20" t="str">
        <x:v>High</x:v>
      </x:c>
      <x:c r="G5" s="20" t="n">
        <x:v>60</x:v>
      </x:c>
      <x:c r="H5" s="20" t="n">
        <x:f>'Risk Register'!N5</x:f>
        <x:v>5</x:v>
      </x:c>
      <x:c r="I5" s="20" t="str">
        <x:v>Planned</x:v>
      </x:c>
    </x:row>
    <x:row r="6">
      <x:c r="A6" s="20" t="n">
        <x:v>5</x:v>
      </x:c>
      <x:c r="B6" s="20" t="str">
        <x:v>Critical third-party vendor suffers a security breach</x:v>
      </x:c>
      <x:c r="C6" s="20" t="str">
        <x:v>Mitigate/Transfer</x:v>
      </x:c>
      <x:c r="D6" s="20" t="str">
        <x:v>Vendor assessments, security clauses, and insurance</x:v>
      </x:c>
      <x:c r="E6" s="20" t="str">
        <x:v>GRC/Legal</x:v>
      </x:c>
      <x:c r="F6" s="20" t="str">
        <x:v>High</x:v>
      </x:c>
      <x:c r="G6" s="20" t="n">
        <x:v>90</x:v>
      </x:c>
      <x:c r="H6" s="20" t="n">
        <x:f>'Risk Register'!N6</x:f>
        <x:v>8</x:v>
      </x:c>
      <x:c r="I6" s="20" t="str">
        <x:v>Planned</x:v>
      </x:c>
    </x:row>
    <x:row r="7">
      <x:c r="A7" s="20" t="n">
        <x:v>6</x:v>
      </x:c>
      <x:c r="B7" s="20" t="str">
        <x:v>Employee laptop is lost or stolen</x:v>
      </x:c>
      <x:c r="C7" s="20" t="str">
        <x:v>Mitigate</x:v>
      </x:c>
      <x:c r="D7" s="20" t="str">
        <x:v>Encryption, MFA, screen lock, and remote wipe</x:v>
      </x:c>
      <x:c r="E7" s="20" t="str">
        <x:v>IT</x:v>
      </x:c>
      <x:c r="F7" s="20" t="str">
        <x:v>High</x:v>
      </x:c>
      <x:c r="G7" s="20" t="n">
        <x:v>60</x:v>
      </x:c>
      <x:c r="H7" s="20" t="n">
        <x:f>'Risk Register'!N7</x:f>
        <x:v>6</x:v>
      </x:c>
      <x:c r="I7" s="20" t="str">
        <x:v>Planned</x:v>
      </x:c>
    </x:row>
    <x:row r="8">
      <x:c r="A8" s="20" t="n">
        <x:v>7</x:v>
      </x:c>
      <x:c r="B8" s="20" t="str">
        <x:v>Malware or ransomware disrupts business operations</x:v>
      </x:c>
      <x:c r="C8" s="20" t="str">
        <x:v>Mitigate</x:v>
      </x:c>
      <x:c r="D8" s="20" t="str">
        <x:v>EDR, backups, patching, and response procedures</x:v>
      </x:c>
      <x:c r="E8" s="20" t="str">
        <x:v>Security/IT</x:v>
      </x:c>
      <x:c r="F8" s="20" t="str">
        <x:v>High</x:v>
      </x:c>
      <x:c r="G8" s="20" t="n">
        <x:v>60</x:v>
      </x:c>
      <x:c r="H8" s="20" t="n">
        <x:f>'Risk Register'!N8</x:f>
        <x:v>8</x:v>
      </x:c>
      <x:c r="I8" s="20" t="str">
        <x:v>Planned</x:v>
      </x:c>
    </x:row>
    <x:row r="9">
      <x:c r="A9" s="20" t="n">
        <x:v>8</x:v>
      </x:c>
      <x:c r="B9" s="20" t="str">
        <x:v>Sensitive information is accidentally emailed to the wrong person</x:v>
      </x:c>
      <x:c r="C9" s="20" t="str">
        <x:v>Mitigate</x:v>
      </x:c>
      <x:c r="D9" s="20" t="str">
        <x:v>Data handling training and technical safeguards</x:v>
      </x:c>
      <x:c r="E9" s="20" t="str">
        <x:v>Security</x:v>
      </x:c>
      <x:c r="F9" s="20" t="str">
        <x:v>Medium</x:v>
      </x:c>
      <x:c r="G9" s="20" t="n">
        <x:v>90</x:v>
      </x:c>
      <x:c r="H9" s="20" t="n">
        <x:f>'Risk Register'!N9</x:f>
        <x:v>6</x:v>
      </x:c>
      <x:c r="I9" s="20" t="str">
        <x:v>Planned</x:v>
      </x:c>
    </x:row>
    <x:row r="10">
      <x:c r="A10" s="20" t="n">
        <x:v>9</x:v>
      </x:c>
      <x:c r="B10" s="20" t="str">
        <x:v>Excessive user permissions allow unauthorized access</x:v>
      </x:c>
      <x:c r="C10" s="20" t="str">
        <x:v>Mitigate</x:v>
      </x:c>
      <x:c r="D10" s="20" t="str">
        <x:v>Least privilege and quarterly access reviews</x:v>
      </x:c>
      <x:c r="E10" s="20" t="str">
        <x:v>IT/GRC</x:v>
      </x:c>
      <x:c r="F10" s="20" t="str">
        <x:v>High</x:v>
      </x:c>
      <x:c r="G10" s="20" t="n">
        <x:v>60</x:v>
      </x:c>
      <x:c r="H10" s="20" t="n">
        <x:f>'Risk Register'!N10</x:f>
        <x:v>5</x:v>
      </x:c>
      <x:c r="I10" s="20" t="str">
        <x:v>Planned</x:v>
      </x:c>
    </x:row>
    <x:row r="11">
      <x:c r="A11" s="20" t="n">
        <x:v>10</x:v>
      </x:c>
      <x:c r="B11" s="20" t="str">
        <x:v>Backups fail during a major incident</x:v>
      </x:c>
      <x:c r="C11" s="20" t="str">
        <x:v>Mitigate</x:v>
      </x:c>
      <x:c r="D11" s="20" t="str">
        <x:v>Automated backups and restoration testing</x:v>
      </x:c>
      <x:c r="E11" s="20" t="str">
        <x:v>IT</x:v>
      </x:c>
      <x:c r="F11" s="20" t="str">
        <x:v>High</x:v>
      </x:c>
      <x:c r="G11" s="20" t="n">
        <x:v>60</x:v>
      </x:c>
      <x:c r="H11" s="20" t="n">
        <x:f>'Risk Register'!N11</x:f>
        <x:v>5</x:v>
      </x:c>
      <x:c r="I11" s="20" t="str">
        <x:v>Planned</x:v>
      </x:c>
    </x:row>
    <x:row r="12">
      <x:c r="A12" s="20" t="n">
        <x:v>11</x:v>
      </x:c>
      <x:c r="B12" s="20" t="str">
        <x:v>Vulnerable software remains unpatched</x:v>
      </x:c>
      <x:c r="C12" s="20" t="str">
        <x:v>Mitigate</x:v>
      </x:c>
      <x:c r="D12" s="20" t="str">
        <x:v>Formal patch and vulnerability management SLAs</x:v>
      </x:c>
      <x:c r="E12" s="20" t="str">
        <x:v>IT/Security</x:v>
      </x:c>
      <x:c r="F12" s="20" t="str">
        <x:v>High</x:v>
      </x:c>
      <x:c r="G12" s="20" t="n">
        <x:v>30</x:v>
      </x:c>
      <x:c r="H12" s="20" t="n">
        <x:f>'Risk Register'!N12</x:f>
        <x:v>8</x:v>
      </x:c>
      <x:c r="I12" s="20" t="str">
        <x:v>Planned</x:v>
      </x:c>
    </x:row>
    <x:row r="13">
      <x:c r="A13" s="20" t="n">
        <x:v>12</x:v>
      </x:c>
      <x:c r="B13" s="20" t="str">
        <x:v>Employees are not adequately trained on security</x:v>
      </x:c>
      <x:c r="C13" s="20" t="str">
        <x:v>Mitigate</x:v>
      </x:c>
      <x:c r="D13" s="20" t="str">
        <x:v>Annual and new-hire security awareness training</x:v>
      </x:c>
      <x:c r="E13" s="20" t="str">
        <x:v>HR/Security</x:v>
      </x:c>
      <x:c r="F13" s="20" t="str">
        <x:v>Medium</x:v>
      </x:c>
      <x:c r="G13" s="20" t="n">
        <x:v>90</x:v>
      </x:c>
      <x:c r="H13" s="20" t="n">
        <x:f>'Risk Register'!N13</x:f>
        <x:v>6</x:v>
      </x:c>
      <x:c r="I13" s="20" t="str">
        <x:v>Planned</x:v>
      </x:c>
    </x:row>
    <x:row r="14">
      <x:c r="A14" s="20" t="n">
        <x:v>13</x:v>
      </x:c>
      <x:c r="B14" s="20" t="str">
        <x:v>Security logs are not reviewed and attacks go undetected</x:v>
      </x:c>
      <x:c r="C14" s="20" t="str">
        <x:v>Mitigate</x:v>
      </x:c>
      <x:c r="D14" s="20" t="str">
        <x:v>Centralized logging, alerts, and review procedures</x:v>
      </x:c>
      <x:c r="E14" s="20" t="str">
        <x:v>Security</x:v>
      </x:c>
      <x:c r="F14" s="20" t="str">
        <x:v>High</x:v>
      </x:c>
      <x:c r="G14" s="20" t="n">
        <x:v>60</x:v>
      </x:c>
      <x:c r="H14" s="20" t="n">
        <x:f>'Risk Register'!N14</x:f>
        <x:v>6</x:v>
      </x:c>
      <x:c r="I14" s="20" t="str">
        <x:v>Planned</x:v>
      </x:c>
    </x:row>
    <x:row r="15">
      <x:c r="A15" s="20" t="n">
        <x:v>14</x:v>
      </x:c>
      <x:c r="B15" s="20" t="str">
        <x:v>Weak vendor security assessment allows risky suppliers</x:v>
      </x:c>
      <x:c r="C15" s="20" t="str">
        <x:v>Mitigate</x:v>
      </x:c>
      <x:c r="D15" s="20" t="str">
        <x:v>Vendor questionnaire, risk tiering, and reassessment</x:v>
      </x:c>
      <x:c r="E15" s="20" t="str">
        <x:v>GRC</x:v>
      </x:c>
      <x:c r="F15" s="20" t="str">
        <x:v>Medium</x:v>
      </x:c>
      <x:c r="G15" s="20" t="n">
        <x:v>90</x:v>
      </x:c>
      <x:c r="H15" s="20" t="n">
        <x:f>'Risk Register'!N15</x:f>
        <x:v>6</x:v>
      </x:c>
      <x:c r="I15" s="20" t="str">
        <x:v>Planned</x:v>
      </x:c>
    </x:row>
    <x:row r="16">
      <x:c r="A16" s="20" t="n">
        <x:v>15</x:v>
      </x:c>
      <x:c r="B16" s="20" t="str">
        <x:v>Incident response procedures are incomplete or untested</x:v>
      </x:c>
      <x:c r="C16" s="20" t="str">
        <x:v>Mitigate</x:v>
      </x:c>
      <x:c r="D16" s="20" t="str">
        <x:v>Document and test incident response plan</x:v>
      </x:c>
      <x:c r="E16" s="20" t="str">
        <x:v>Security/GRC</x:v>
      </x:c>
      <x:c r="F16" s="20" t="str">
        <x:v>High</x:v>
      </x:c>
      <x:c r="G16" s="20" t="n">
        <x:v>60</x:v>
      </x:c>
      <x:c r="H16" s="20" t="n">
        <x:f>'Risk Register'!N16</x:f>
        <x:v>5</x:v>
      </x:c>
      <x:c r="I16" s="20" t="str">
        <x:v>Planned</x:v>
      </x:c>
    </x:row>
  </x:sheetData>
  <x:dataValidations count="1">
    <x:dataValidation type="list" sqref="I2:I16">
      <x:formula1>"Planned,In Progress,Complete,Accepted"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38" hidden="0" customWidth="1"/>
    <x:col min="4" max="4" width="40" hidden="0" customWidth="1"/>
    <x:col min="5" max="5" width="18" hidden="0" customWidth="1"/>
  </x:cols>
  <x:sheetData>
    <x:row r="1" ht="30" customHeight="1">
      <x:c r="A1" s="13" t="str">
        <x:v>Security Area</x:v>
      </x:c>
      <x:c r="B1" s="13" t="str">
        <x:v>Current State</x:v>
      </x:c>
      <x:c r="C1" s="13" t="str">
        <x:v>Gap</x:v>
      </x:c>
      <x:c r="D1" s="13" t="str">
        <x:v>Recommendation</x:v>
      </x:c>
      <x:c r="E1" s="13" t="str">
        <x:v>Status</x:v>
      </x:c>
    </x:row>
    <x:row r="2">
      <x:c r="A2" s="20" t="str">
        <x:v>MFA</x:v>
      </x:c>
      <x:c r="B2" s="20" t="str">
        <x:v>Admins only</x:v>
      </x:c>
      <x:c r="C2" s="20" t="str">
        <x:v>Regular users are not consistently protected</x:v>
      </x:c>
      <x:c r="D2" s="20" t="str">
        <x:v>Require MFA company-wide</x:v>
      </x:c>
      <x:c r="E2" s="20" t="str">
        <x:v>Not Implemented</x:v>
      </x:c>
    </x:row>
    <x:row r="3">
      <x:c r="A3" s="20" t="str">
        <x:v>Access reviews</x:v>
      </x:c>
      <x:c r="B3" s="20" t="str">
        <x:v>Informal</x:v>
      </x:c>
      <x:c r="C3" s="20" t="str">
        <x:v>Permissions are not periodically reviewed</x:v>
      </x:c>
      <x:c r="D3" s="20" t="str">
        <x:v>Quarterly access reviews</x:v>
      </x:c>
      <x:c r="E3" s="20" t="str">
        <x:v>Not Implemented</x:v>
      </x:c>
    </x:row>
    <x:row r="4">
      <x:c r="A4" s="20" t="str">
        <x:v>Offboarding</x:v>
      </x:c>
      <x:c r="B4" s="20" t="str">
        <x:v>Manual email process</x:v>
      </x:c>
      <x:c r="C4" s="20" t="str">
        <x:v>Accounts can be missed</x:v>
      </x:c>
      <x:c r="D4" s="20" t="str">
        <x:v>Formal HR/IT workflow</x:v>
      </x:c>
      <x:c r="E4" s="20" t="str">
        <x:v>Partial</x:v>
      </x:c>
    </x:row>
    <x:row r="5">
      <x:c r="A5" s="20" t="str">
        <x:v>Security awareness</x:v>
      </x:c>
      <x:c r="B5" s="20" t="str">
        <x:v>New-hire only</x:v>
      </x:c>
      <x:c r="C5" s="20" t="str">
        <x:v>No recurring training</x:v>
      </x:c>
      <x:c r="D5" s="20" t="str">
        <x:v>Annual training plus phishing exercises</x:v>
      </x:c>
      <x:c r="E5" s="20" t="str">
        <x:v>Partial</x:v>
      </x:c>
    </x:row>
    <x:row r="6">
      <x:c r="A6" s="20" t="str">
        <x:v>Vulnerability management</x:v>
      </x:c>
      <x:c r="B6" s="20" t="str">
        <x:v>Ad hoc</x:v>
      </x:c>
      <x:c r="C6" s="20" t="str">
        <x:v>No standard remediation timelines</x:v>
      </x:c>
      <x:c r="D6" s="20" t="str">
        <x:v>Formal scanning and remediation SLAs</x:v>
      </x:c>
      <x:c r="E6" s="20" t="str">
        <x:v>Not Implemented</x:v>
      </x:c>
    </x:row>
    <x:row r="7">
      <x:c r="A7" s="20" t="str">
        <x:v>Cloud security</x:v>
      </x:c>
      <x:c r="B7" s="20" t="str">
        <x:v>Engineer-managed</x:v>
      </x:c>
      <x:c r="C7" s="20" t="str">
        <x:v>No formal configuration review</x:v>
      </x:c>
      <x:c r="D7" s="20" t="str">
        <x:v>Cloud security baseline and reviews</x:v>
      </x:c>
      <x:c r="E7" s="20" t="str">
        <x:v>Partial</x:v>
      </x:c>
    </x:row>
    <x:row r="8">
      <x:c r="A8" s="20" t="str">
        <x:v>Incident response</x:v>
      </x:c>
      <x:c r="B8" s="20" t="str">
        <x:v>Basic plan exists</x:v>
      </x:c>
      <x:c r="C8" s="20" t="str">
        <x:v>No consistent testing</x:v>
      </x:c>
      <x:c r="D8" s="20" t="str">
        <x:v>Annual tabletop exercise</x:v>
      </x:c>
      <x:c r="E8" s="20" t="str">
        <x:v>Partial</x:v>
      </x:c>
    </x:row>
    <x:row r="9">
      <x:c r="A9" s="20" t="str">
        <x:v>Backups</x:v>
      </x:c>
      <x:c r="B9" s="20" t="str">
        <x:v>Automated</x:v>
      </x:c>
      <x:c r="C9" s="20" t="str">
        <x:v>Restore tests inconsistent</x:v>
      </x:c>
      <x:c r="D9" s="20" t="str">
        <x:v>Quarterly restoration tests</x:v>
      </x:c>
      <x:c r="E9" s="20" t="str">
        <x:v>Partial</x:v>
      </x:c>
    </x:row>
    <x:row r="10">
      <x:c r="A10" s="20" t="str">
        <x:v>Logging</x:v>
      </x:c>
      <x:c r="B10" s="20" t="str">
        <x:v>Logs remain in separate systems</x:v>
      </x:c>
      <x:c r="C10" s="20" t="str">
        <x:v>No centralized monitoring</x:v>
      </x:c>
      <x:c r="D10" s="20" t="str">
        <x:v>Centralize high-value logs/SIEM</x:v>
      </x:c>
      <x:c r="E10" s="20" t="str">
        <x:v>Not Implemented</x:v>
      </x:c>
    </x:row>
    <x:row r="11">
      <x:c r="A11" s="20" t="str">
        <x:v>Vendor security</x:v>
      </x:c>
      <x:c r="B11" s="20" t="str">
        <x:v>Procurement review only</x:v>
      </x:c>
      <x:c r="C11" s="20" t="str">
        <x:v>Security is not formally evaluated</x:v>
      </x:c>
      <x:c r="D11" s="20" t="str">
        <x:v>Vendor risk management process</x:v>
      </x:c>
      <x:c r="E11" s="20" t="str">
        <x:v>Not Implemented</x:v>
      </x:c>
    </x:row>
    <x:row r="12">
      <x:c r="A12" s="20" t="str">
        <x:v>Endpoint security</x:v>
      </x:c>
      <x:c r="B12" s="20" t="str">
        <x:v>AV deployed</x:v>
      </x:c>
      <x:c r="C12" s="20" t="str">
        <x:v>Endpoint monitoring is inconsistent</x:v>
      </x:c>
      <x:c r="D12" s="20" t="str">
        <x:v>EDR and standard configurations</x:v>
      </x:c>
      <x:c r="E12" s="20" t="str">
        <x:v>Partial</x:v>
      </x:c>
    </x:row>
    <x:row r="13">
      <x:c r="A13" s="20" t="str">
        <x:v>Encryption</x:v>
      </x:c>
      <x:c r="B13" s="20" t="str">
        <x:v>Mostly implemented</x:v>
      </x:c>
      <x:c r="C13" s="20" t="str">
        <x:v>Standards are not formally documented</x:v>
      </x:c>
      <x:c r="D13" s="20" t="str">
        <x:v>Document encryption requirements</x:v>
      </x:c>
      <x:c r="E13" s="20" t="str">
        <x:v>Partial</x:v>
      </x:c>
    </x:row>
  </x:sheetData>
  <x:dataValidations count="1">
    <x:dataValidation type="list" sqref="E2:E13">
      <x:formula1>"Implemented,Partial,Not Implemented"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13" hidden="0" customWidth="1"/>
    <x:col min="4" max="4" width="16" hidden="0" customWidth="1"/>
    <x:col min="5" max="5" width="45" hidden="0" customWidth="1"/>
    <x:col min="6" max="6" width="34" hidden="0" customWidth="1"/>
  </x:cols>
  <x:sheetData>
    <x:row r="1" ht="30" customHeight="1">
      <x:c r="A1" s="13" t="str">
        <x:v>Control</x:v>
      </x:c>
      <x:c r="B1" s="13" t="str">
        <x:v>Control Name</x:v>
      </x:c>
      <x:c r="C1" s="13" t="str">
        <x:v>Applicable?</x:v>
      </x:c>
      <x:c r="D1" s="13" t="str">
        <x:v>Status</x:v>
      </x:c>
      <x:c r="E1" s="13" t="str">
        <x:v>Justification</x:v>
      </x:c>
      <x:c r="F1" s="13" t="str">
        <x:v>Example Evidence</x:v>
      </x:c>
    </x:row>
    <x:row r="2">
      <x:c r="A2" s="20" t="str">
        <x:v>A.5.15</x:v>
      </x:c>
      <x:c r="B2" s="20" t="str">
        <x:v>Access control</x:v>
      </x:c>
      <x:c r="C2" s="20" t="str">
        <x:v>Yes</x:v>
      </x:c>
      <x:c r="D2" s="20" t="str">
        <x:v>Partial</x:v>
      </x:c>
      <x:c r="E2" s="20" t="str">
        <x:v>Employees require controlled access to sensitive systems</x:v>
      </x:c>
      <x:c r="F2" s="20" t="str">
        <x:v>Access control policy; role permissions</x:v>
      </x:c>
    </x:row>
    <x:row r="3">
      <x:c r="A3" s="20" t="str">
        <x:v>A.5.16</x:v>
      </x:c>
      <x:c r="B3" s="20" t="str">
        <x:v>Identity management</x:v>
      </x:c>
      <x:c r="C3" s="20" t="str">
        <x:v>Yes</x:v>
      </x:c>
      <x:c r="D3" s="20" t="str">
        <x:v>Partial</x:v>
      </x:c>
      <x:c r="E3" s="20" t="str">
        <x:v>User identities need lifecycle management</x:v>
      </x:c>
      <x:c r="F3" s="20" t="str">
        <x:v>Provisioning/deprovisioning tickets</x:v>
      </x:c>
    </x:row>
    <x:row r="4">
      <x:c r="A4" s="20" t="str">
        <x:v>A.5.18</x:v>
      </x:c>
      <x:c r="B4" s="20" t="str">
        <x:v>Access rights</x:v>
      </x:c>
      <x:c r="C4" s="20" t="str">
        <x:v>Yes</x:v>
      </x:c>
      <x:c r="D4" s="20" t="str">
        <x:v>Partial</x:v>
      </x:c>
      <x:c r="E4" s="20" t="str">
        <x:v>Permissions need least-privilege reviews</x:v>
      </x:c>
      <x:c r="F4" s="20" t="str">
        <x:v>Quarterly access review records</x:v>
      </x:c>
    </x:row>
    <x:row r="5">
      <x:c r="A5" s="20" t="str">
        <x:v>A.5.19</x:v>
      </x:c>
      <x:c r="B5" s="20" t="str">
        <x:v>Information security in supplier relationships</x:v>
      </x:c>
      <x:c r="C5" s="20" t="str">
        <x:v>Yes</x:v>
      </x:c>
      <x:c r="D5" s="20" t="str">
        <x:v>Partial</x:v>
      </x:c>
      <x:c r="E5" s="20" t="str">
        <x:v>PeachtreePay relies on cloud and SaaS vendors</x:v>
      </x:c>
      <x:c r="F5" s="20" t="str">
        <x:v>Vendor reviews and contracts</x:v>
      </x:c>
    </x:row>
    <x:row r="6">
      <x:c r="A6" s="20" t="str">
        <x:v>A.5.23</x:v>
      </x:c>
      <x:c r="B6" s="20" t="str">
        <x:v>Information security for use of cloud services</x:v>
      </x:c>
      <x:c r="C6" s="20" t="str">
        <x:v>Yes</x:v>
      </x:c>
      <x:c r="D6" s="20" t="str">
        <x:v>Partial</x:v>
      </x:c>
      <x:c r="E6" s="20" t="str">
        <x:v>AWS supports critical company services</x:v>
      </x:c>
      <x:c r="F6" s="20" t="str">
        <x:v>Cloud baseline and configuration reviews</x:v>
      </x:c>
    </x:row>
    <x:row r="7">
      <x:c r="A7" s="20" t="str">
        <x:v>A.5.24</x:v>
      </x:c>
      <x:c r="B7" s="20" t="str">
        <x:v>Information security incident management planning and preparation</x:v>
      </x:c>
      <x:c r="C7" s="20" t="str">
        <x:v>Yes</x:v>
      </x:c>
      <x:c r="D7" s="20" t="str">
        <x:v>Partial</x:v>
      </x:c>
      <x:c r="E7" s="20" t="str">
        <x:v>Security incidents require structured response</x:v>
      </x:c>
      <x:c r="F7" s="20" t="str">
        <x:v>Incident response plan</x:v>
      </x:c>
    </x:row>
    <x:row r="8">
      <x:c r="A8" s="20" t="str">
        <x:v>A.6.3</x:v>
      </x:c>
      <x:c r="B8" s="20" t="str">
        <x:v>Information security awareness, education and training</x:v>
      </x:c>
      <x:c r="C8" s="20" t="str">
        <x:v>Yes</x:v>
      </x:c>
      <x:c r="D8" s="20" t="str">
        <x:v>Partial</x:v>
      </x:c>
      <x:c r="E8" s="20" t="str">
        <x:v>Employees can introduce security risk</x:v>
      </x:c>
      <x:c r="F8" s="20" t="str">
        <x:v>Training completion reports</x:v>
      </x:c>
    </x:row>
    <x:row r="9">
      <x:c r="A9" s="20" t="str">
        <x:v>A.6.5</x:v>
      </x:c>
      <x:c r="B9" s="20" t="str">
        <x:v>Responsibilities after termination or change of employment</x:v>
      </x:c>
      <x:c r="C9" s="20" t="str">
        <x:v>Yes</x:v>
      </x:c>
      <x:c r="D9" s="20" t="str">
        <x:v>Partial</x:v>
      </x:c>
      <x:c r="E9" s="20" t="str">
        <x:v>Access must be removed when employment ends</x:v>
      </x:c>
      <x:c r="F9" s="20" t="str">
        <x:v>Termination tickets</x:v>
      </x:c>
    </x:row>
    <x:row r="10">
      <x:c r="A10" s="20" t="str">
        <x:v>A.8.1</x:v>
      </x:c>
      <x:c r="B10" s="20" t="str">
        <x:v>User endpoint devices</x:v>
      </x:c>
      <x:c r="C10" s="20" t="str">
        <x:v>Yes</x:v>
      </x:c>
      <x:c r="D10" s="20" t="str">
        <x:v>Partial</x:v>
      </x:c>
      <x:c r="E10" s="20" t="str">
        <x:v>Employees use laptops to access company systems</x:v>
      </x:c>
      <x:c r="F10" s="20" t="str">
        <x:v>Device inventory and endpoint standards</x:v>
      </x:c>
    </x:row>
    <x:row r="11">
      <x:c r="A11" s="20" t="str">
        <x:v>A.8.7</x:v>
      </x:c>
      <x:c r="B11" s="20" t="str">
        <x:v>Protection against malware</x:v>
      </x:c>
      <x:c r="C11" s="20" t="str">
        <x:v>Yes</x:v>
      </x:c>
      <x:c r="D11" s="20" t="str">
        <x:v>Implemented</x:v>
      </x:c>
      <x:c r="E11" s="20" t="str">
        <x:v>Endpoints require malware protection</x:v>
      </x:c>
      <x:c r="F11" s="20" t="str">
        <x:v>EDR/antimalware dashboard</x:v>
      </x:c>
    </x:row>
    <x:row r="12">
      <x:c r="A12" s="20" t="str">
        <x:v>A.8.8</x:v>
      </x:c>
      <x:c r="B12" s="20" t="str">
        <x:v>Management of technical vulnerabilities</x:v>
      </x:c>
      <x:c r="C12" s="20" t="str">
        <x:v>Yes</x:v>
      </x:c>
      <x:c r="D12" s="20" t="str">
        <x:v>Partial</x:v>
      </x:c>
      <x:c r="E12" s="20" t="str">
        <x:v>Systems require vulnerability management</x:v>
      </x:c>
      <x:c r="F12" s="20" t="str">
        <x:v>Scan and remediation reports</x:v>
      </x:c>
    </x:row>
    <x:row r="13">
      <x:c r="A13" s="20" t="str">
        <x:v>A.8.13</x:v>
      </x:c>
      <x:c r="B13" s="20" t="str">
        <x:v>Information backup</x:v>
      </x:c>
      <x:c r="C13" s="20" t="str">
        <x:v>Yes</x:v>
      </x:c>
      <x:c r="D13" s="20" t="str">
        <x:v>Partial</x:v>
      </x:c>
      <x:c r="E13" s="20" t="str">
        <x:v>Business data must be recoverable</x:v>
      </x:c>
      <x:c r="F13" s="20" t="str">
        <x:v>Backup logs and restore tests</x:v>
      </x:c>
    </x:row>
    <x:row r="14">
      <x:c r="A14" s="20" t="str">
        <x:v>A.8.15</x:v>
      </x:c>
      <x:c r="B14" s="20" t="str">
        <x:v>Logging</x:v>
      </x:c>
      <x:c r="C14" s="20" t="str">
        <x:v>Yes</x:v>
      </x:c>
      <x:c r="D14" s="20" t="str">
        <x:v>Partial</x:v>
      </x:c>
      <x:c r="E14" s="20" t="str">
        <x:v>Security events need records</x:v>
      </x:c>
      <x:c r="F14" s="20" t="str">
        <x:v>System/security logs</x:v>
      </x:c>
    </x:row>
    <x:row r="15">
      <x:c r="A15" s="20" t="str">
        <x:v>A.8.16</x:v>
      </x:c>
      <x:c r="B15" s="20" t="str">
        <x:v>Monitoring activities</x:v>
      </x:c>
      <x:c r="C15" s="20" t="str">
        <x:v>Yes</x:v>
      </x:c>
      <x:c r="D15" s="20" t="str">
        <x:v>Partial</x:v>
      </x:c>
      <x:c r="E15" s="20" t="str">
        <x:v>Suspicious activity needs detection</x:v>
      </x:c>
      <x:c r="F15" s="20" t="str">
        <x:v>SIEM alerts and investigations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0" hidden="0" customWidth="1"/>
    <x:col min="3" max="3" width="50" hidden="0" customWidth="1"/>
  </x:cols>
  <x:sheetData>
    <x:row r="1" ht="30" customHeight="1">
      <x:c r="A1" s="13" t="str">
        <x:v>Control Area</x:v>
      </x:c>
      <x:c r="B1" s="13" t="str">
        <x:v>Example Evidence</x:v>
      </x:c>
      <x:c r="C1" s="13" t="str">
        <x:v>What It Demonstrates</x:v>
      </x:c>
    </x:row>
    <x:row r="2">
      <x:c r="A2" s="20" t="str">
        <x:v>MFA</x:v>
      </x:c>
      <x:c r="B2" s="20" t="str">
        <x:v>Microsoft 365/AWS MFA configuration report</x:v>
      </x:c>
      <x:c r="C2" s="20" t="str">
        <x:v>Shows MFA is enabled for required accounts</x:v>
      </x:c>
    </x:row>
    <x:row r="3">
      <x:c r="A3" s="20" t="str">
        <x:v>User provisioning</x:v>
      </x:c>
      <x:c r="B3" s="20" t="str">
        <x:v>Approved access request tickets</x:v>
      </x:c>
      <x:c r="C3" s="20" t="str">
        <x:v>Shows access was approved before being granted</x:v>
      </x:c>
    </x:row>
    <x:row r="4">
      <x:c r="A4" s="20" t="str">
        <x:v>Access reviews</x:v>
      </x:c>
      <x:c r="B4" s="20" t="str">
        <x:v>Quarterly access review records</x:v>
      </x:c>
      <x:c r="C4" s="20" t="str">
        <x:v>Shows permissions are periodically reviewed</x:v>
      </x:c>
    </x:row>
    <x:row r="5">
      <x:c r="A5" s="20" t="str">
        <x:v>Offboarding</x:v>
      </x:c>
      <x:c r="B5" s="20" t="str">
        <x:v>Termination ticket and disabled-account record</x:v>
      </x:c>
      <x:c r="C5" s="20" t="str">
        <x:v>Shows former employee access was removed</x:v>
      </x:c>
    </x:row>
    <x:row r="6">
      <x:c r="A6" s="20" t="str">
        <x:v>Privileged access</x:v>
      </x:c>
      <x:c r="B6" s="20" t="str">
        <x:v>Administrator account inventory</x:v>
      </x:c>
      <x:c r="C6" s="20" t="str">
        <x:v>Shows elevated access is restricted and tracked</x:v>
      </x:c>
    </x:row>
    <x:row r="7">
      <x:c r="A7" s="20" t="str">
        <x:v>Security awareness</x:v>
      </x:c>
      <x:c r="B7" s="20" t="str">
        <x:v>Training completion report</x:v>
      </x:c>
      <x:c r="C7" s="20" t="str">
        <x:v>Shows required training was completed</x:v>
      </x:c>
    </x:row>
    <x:row r="8">
      <x:c r="A8" s="20" t="str">
        <x:v>Phishing awareness</x:v>
      </x:c>
      <x:c r="B8" s="20" t="str">
        <x:v>Phishing simulation results</x:v>
      </x:c>
      <x:c r="C8" s="20" t="str">
        <x:v>Shows employees are periodically tested</x:v>
      </x:c>
    </x:row>
    <x:row r="9">
      <x:c r="A9" s="20" t="str">
        <x:v>Endpoint security</x:v>
      </x:c>
      <x:c r="B9" s="20" t="str">
        <x:v>EDR dashboard/report</x:v>
      </x:c>
      <x:c r="C9" s="20" t="str">
        <x:v>Shows endpoints are monitored and protected</x:v>
      </x:c>
    </x:row>
    <x:row r="10">
      <x:c r="A10" s="20" t="str">
        <x:v>Encryption</x:v>
      </x:c>
      <x:c r="B10" s="20" t="str">
        <x:v>Device encryption compliance report</x:v>
      </x:c>
      <x:c r="C10" s="20" t="str">
        <x:v>Shows company devices use encryption</x:v>
      </x:c>
    </x:row>
    <x:row r="11">
      <x:c r="A11" s="20" t="str">
        <x:v>Vulnerability management</x:v>
      </x:c>
      <x:c r="B11" s="20" t="str">
        <x:v>Vulnerability scan report</x:v>
      </x:c>
      <x:c r="C11" s="20" t="str">
        <x:v>Shows weaknesses are being identified</x:v>
      </x:c>
    </x:row>
    <x:row r="12">
      <x:c r="A12" s="20" t="str">
        <x:v>Patch management</x:v>
      </x:c>
      <x:c r="B12" s="20" t="str">
        <x:v>Patch compliance report</x:v>
      </x:c>
      <x:c r="C12" s="20" t="str">
        <x:v>Shows systems are receiving security updates</x:v>
      </x:c>
    </x:row>
    <x:row r="13">
      <x:c r="A13" s="20" t="str">
        <x:v>AWS security</x:v>
      </x:c>
      <x:c r="B13" s="20" t="str">
        <x:v>Cloud configuration review</x:v>
      </x:c>
      <x:c r="C13" s="20" t="str">
        <x:v>Shows cloud controls were reviewed</x:v>
      </x:c>
    </x:row>
    <x:row r="14">
      <x:c r="A14" s="20" t="str">
        <x:v>Logging</x:v>
      </x:c>
      <x:c r="B14" s="20" t="str">
        <x:v>System log samples</x:v>
      </x:c>
      <x:c r="C14" s="20" t="str">
        <x:v>Shows relevant security events are recorded</x:v>
      </x:c>
    </x:row>
    <x:row r="15">
      <x:c r="A15" s="20" t="str">
        <x:v>Monitoring</x:v>
      </x:c>
      <x:c r="B15" s="20" t="str">
        <x:v>SIEM alerts and investigation tickets</x:v>
      </x:c>
      <x:c r="C15" s="20" t="str">
        <x:v>Shows suspicious activity is reviewed</x:v>
      </x:c>
    </x:row>
    <x:row r="16">
      <x:c r="A16" s="20" t="str">
        <x:v>Backups</x:v>
      </x:c>
      <x:c r="B16" s="20" t="str">
        <x:v>Backup job logs</x:v>
      </x:c>
      <x:c r="C16" s="20" t="str">
        <x:v>Shows critical data is backed up</x:v>
      </x:c>
    </x:row>
    <x:row r="17">
      <x:c r="A17" s="20" t="str">
        <x:v>Restore testing</x:v>
      </x:c>
      <x:c r="B17" s="20" t="str">
        <x:v>Restoration test record</x:v>
      </x:c>
      <x:c r="C17" s="20" t="str">
        <x:v>Shows backups can actually be recovered</x:v>
      </x:c>
    </x:row>
    <x:row r="18">
      <x:c r="A18" s="20" t="str">
        <x:v>Vendor security</x:v>
      </x:c>
      <x:c r="B18" s="20" t="str">
        <x:v>Completed vendor questionnaire</x:v>
      </x:c>
      <x:c r="C18" s="20" t="str">
        <x:v>Shows supplier security was evaluated</x:v>
      </x:c>
    </x:row>
    <x:row r="19">
      <x:c r="A19" s="20" t="str">
        <x:v>Incident response</x:v>
      </x:c>
      <x:c r="B19" s="20" t="str">
        <x:v>Tabletop exercise report</x:v>
      </x:c>
      <x:c r="C19" s="20" t="str">
        <x:v>Shows response procedures were tested</x:v>
      </x:c>
    </x:row>
    <x:row r="20">
      <x:c r="A20" s="20" t="str">
        <x:v>Risk management</x:v>
      </x:c>
      <x:c r="B20" s="20" t="str">
        <x:v>Risk register and treatment plan</x:v>
      </x:c>
      <x:c r="C20" s="20" t="str">
        <x:v>Shows risks are identified, scored, and tracked</x:v>
      </x:c>
    </x:row>
  </x:sheetData>
  <x:pageMargins left="0.7" right="0.7" top="0.75" bottom="0.75" header="0.3" footer="0.3"/>
</x:worksheet>
</file>